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2D3FB82-FF20-4678-8CA9-CFB6DD55A80E}" xr6:coauthVersionLast="47" xr6:coauthVersionMax="47" xr10:uidLastSave="{00000000-0000-0000-0000-000000000000}"/>
  <bookViews>
    <workbookView xWindow="-28920" yWindow="-7500" windowWidth="29040" windowHeight="16440" xr2:uid="{DDEAFE6A-40B3-498A-826B-8B40FFFFB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7" i="1"/>
  <c r="F28" i="1"/>
  <c r="F29" i="1"/>
  <c r="F30" i="1"/>
  <c r="F22" i="1"/>
  <c r="F25" i="1"/>
  <c r="F23" i="1"/>
  <c r="F24" i="1"/>
  <c r="F32" i="1" l="1"/>
</calcChain>
</file>

<file path=xl/sharedStrings.xml><?xml version="1.0" encoding="utf-8"?>
<sst xmlns="http://schemas.openxmlformats.org/spreadsheetml/2006/main" count="57" uniqueCount="55">
  <si>
    <t>QUOTATION</t>
  </si>
  <si>
    <t>Quote number</t>
  </si>
  <si>
    <t>Date generated</t>
  </si>
  <si>
    <t>Expiry date</t>
  </si>
  <si>
    <t>Prepared by</t>
  </si>
  <si>
    <t>Contact mobile</t>
  </si>
  <si>
    <t>Contact email</t>
  </si>
  <si>
    <t xml:space="preserve"> Description</t>
  </si>
  <si>
    <t xml:space="preserve"> Acceptance of quotation and official order</t>
  </si>
  <si>
    <t xml:space="preserve"> </t>
  </si>
  <si>
    <t xml:space="preserve"> By my signature I hereby declare that I have read, understood, and accept the above quotation and below terms.</t>
  </si>
  <si>
    <t xml:space="preserve">Qty          </t>
  </si>
  <si>
    <t xml:space="preserve">                                          Total Price</t>
  </si>
  <si>
    <r>
      <t>·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>No works will commence until deposit payment is made in full.</t>
    </r>
  </si>
  <si>
    <r>
      <t>·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>Unpaid balances will result in interest being charged as well as storage costs.</t>
    </r>
  </si>
  <si>
    <r>
      <t xml:space="preserve"> </t>
    </r>
    <r>
      <rPr>
        <b/>
        <sz val="11"/>
        <color theme="1"/>
        <rFont val="Calibri"/>
        <family val="2"/>
      </rPr>
      <t>Payment Details: COD or EFT</t>
    </r>
  </si>
  <si>
    <r>
      <t xml:space="preserve"> </t>
    </r>
    <r>
      <rPr>
        <b/>
        <sz val="11"/>
        <color rgb="FF000000"/>
        <rFont val="Calibri"/>
        <family val="2"/>
      </rPr>
      <t xml:space="preserve"> Signature:  </t>
    </r>
    <r>
      <rPr>
        <sz val="11"/>
        <color rgb="FF000000"/>
        <rFont val="Calibri"/>
        <family val="2"/>
      </rPr>
      <t xml:space="preserve">       ____________________________               </t>
    </r>
    <r>
      <rPr>
        <b/>
        <sz val="11"/>
        <color rgb="FF000000"/>
        <rFont val="Calibri"/>
        <family val="2"/>
      </rPr>
      <t>Place:</t>
    </r>
    <r>
      <rPr>
        <sz val="11"/>
        <color rgb="FF000000"/>
        <rFont val="Calibri"/>
        <family val="2"/>
      </rPr>
      <t xml:space="preserve">       _____________________________</t>
    </r>
  </si>
  <si>
    <r>
      <rPr>
        <b/>
        <sz val="11"/>
        <color rgb="FF000000"/>
        <rFont val="Calibri"/>
        <family val="2"/>
      </rPr>
      <t xml:space="preserve">  Client Name:</t>
    </r>
    <r>
      <rPr>
        <sz val="11"/>
        <color rgb="FF000000"/>
        <rFont val="Calibri"/>
        <family val="2"/>
      </rPr>
      <t xml:space="preserve">    ____________________________</t>
    </r>
    <r>
      <rPr>
        <b/>
        <sz val="11"/>
        <color rgb="FF000000"/>
        <rFont val="Calibri"/>
        <family val="2"/>
      </rPr>
      <t xml:space="preserve">              Date:</t>
    </r>
    <r>
      <rPr>
        <sz val="11"/>
        <color rgb="FF000000"/>
        <rFont val="Calibri"/>
        <family val="2"/>
      </rPr>
      <t xml:space="preserve">         _____________________________</t>
    </r>
  </si>
  <si>
    <t xml:space="preserve">
</t>
  </si>
  <si>
    <t xml:space="preserve">                  Unit Price</t>
  </si>
  <si>
    <r>
      <t>·</t>
    </r>
    <r>
      <rPr>
        <sz val="11"/>
        <color theme="1"/>
        <rFont val="Times New Roman"/>
        <family val="1"/>
      </rPr>
      <t>        8</t>
    </r>
    <r>
      <rPr>
        <sz val="11"/>
        <color theme="1"/>
        <rFont val="Calibri"/>
        <family val="2"/>
      </rPr>
      <t>0% Deposit due on collection, 20% balance due prior to delivery.</t>
    </r>
  </si>
  <si>
    <t xml:space="preserve"> Introduction, notes and specifications</t>
  </si>
  <si>
    <t xml:space="preserve"> Project Reference</t>
  </si>
  <si>
    <t xml:space="preserve"> Billing address</t>
  </si>
  <si>
    <t xml:space="preserve"> Client email</t>
  </si>
  <si>
    <t xml:space="preserve"> Client telephone</t>
  </si>
  <si>
    <t xml:space="preserve"> Client contact name</t>
  </si>
  <si>
    <t xml:space="preserve"> Client account name</t>
  </si>
  <si>
    <t xml:space="preserve"> Quote line items</t>
  </si>
  <si>
    <t>info@upholsterywarehouse.co.za</t>
  </si>
  <si>
    <t>077 412 8367</t>
  </si>
  <si>
    <t>Brian Raymond</t>
  </si>
  <si>
    <r>
      <rPr>
        <b/>
        <sz val="11"/>
        <color theme="1"/>
        <rFont val="Calibri"/>
        <family val="2"/>
      </rPr>
      <t xml:space="preserve">    Upholstery Warehouse (Pty) Ltd</t>
    </r>
    <r>
      <rPr>
        <sz val="11"/>
        <color theme="1"/>
        <rFont val="Calibri"/>
        <family val="2"/>
      </rPr>
      <t xml:space="preserve">
077 412 8367
4, 5th Avenue, Edenvale,
Johannesburg.
info@upholsterywarehouse.co.za</t>
    </r>
  </si>
  <si>
    <r>
      <t>·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 xml:space="preserve">Upholstery Warehouse (PTY) LTD, First National Bank, Account Number: 63173509557 - Branch Code: 250655                     </t>
    </r>
  </si>
  <si>
    <r>
      <t>·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 xml:space="preserve">Quote includes FREE collection and delivery within a 5km radius of our workshop. </t>
    </r>
  </si>
  <si>
    <t xml:space="preserve"> PVT Residence</t>
  </si>
  <si>
    <t xml:space="preserve">  2 x Three Seater Daybed to be made and reupholstered in supplied fabric. New 1/2" &amp; 1" foam, decron, etc. all included.</t>
  </si>
  <si>
    <t xml:space="preserve">                                                                                                                                    *TOTAL</t>
  </si>
  <si>
    <t xml:space="preserve">                          Kindly use Quote Number as reference when making payment. *Quoted prices above exclude VAT. To be Invoiced.</t>
  </si>
  <si>
    <t xml:space="preserve"> Dining Chairs - Foam</t>
  </si>
  <si>
    <t xml:space="preserve"> Dining Chairs - Labour</t>
  </si>
  <si>
    <t xml:space="preserve"> Dining Chairs - Consumables</t>
  </si>
  <si>
    <t xml:space="preserve"> Dining Chairs - Fabric</t>
  </si>
  <si>
    <t xml:space="preserve">        *New 1/2" &amp; 1" medium density foam, 3 - Line webbing, Comferel filling, Decron, Wood, etc. all included.</t>
  </si>
  <si>
    <t xml:space="preserve">        *New 2" high density foam, 3 - Line webbing, Decron, Wood, etc. all included.</t>
  </si>
  <si>
    <t>BB09092605</t>
  </si>
  <si>
    <t xml:space="preserve"> Alec Rakow</t>
  </si>
  <si>
    <t xml:space="preserve"> O83 593 1281</t>
  </si>
  <si>
    <t xml:space="preserve">  2 x Two Seater Couch to be reupholstered in 24m SF Fabric - Cullinan (Linen)</t>
  </si>
  <si>
    <t xml:space="preserve"> Two Seater Couch - Fabric</t>
  </si>
  <si>
    <t xml:space="preserve"> Two Seater Couch - Foam</t>
  </si>
  <si>
    <t xml:space="preserve"> Two Seater Couch - Labour</t>
  </si>
  <si>
    <t xml:space="preserve"> Two Seater Couch - Consumables</t>
  </si>
  <si>
    <t xml:space="preserve">  6 x Dining Chairs to be reupholstered in 12m SF Fabric - Delecor (Amber, Rust, Slate)</t>
  </si>
  <si>
    <t xml:space="preserve"> Dining Chairs, Table &amp; Side Board  - Sanding &amp;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</si>
</sst>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14"/>
      <color theme="1"/>
      <name val="Calibri"/>
      <family val="2"/>
    </font>
    <font>
      <sz val="14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4" fontId="0" fillId="0" borderId="0" xfId="0" applyNumberFormat="1"/>
    <xf numFmtId="44" fontId="4" fillId="0" borderId="0" xfId="0" applyNumberFormat="1" applyFont="1" applyAlignment="1">
      <alignment vertical="center" wrapText="1"/>
    </xf>
    <xf numFmtId="44" fontId="0" fillId="0" borderId="0" xfId="0" applyNumberFormat="1" applyAlignment="1">
      <alignment vertical="top" wrapText="1"/>
    </xf>
    <xf numFmtId="44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/>
    </xf>
    <xf numFmtId="0" fontId="5" fillId="0" borderId="0" xfId="0" applyFont="1"/>
    <xf numFmtId="44" fontId="5" fillId="0" borderId="0" xfId="0" applyNumberFormat="1" applyFont="1"/>
    <xf numFmtId="0" fontId="3" fillId="0" borderId="2" xfId="0" applyFont="1" applyBorder="1" applyAlignment="1">
      <alignment vertical="center" wrapText="1"/>
    </xf>
    <xf numFmtId="0" fontId="12" fillId="0" borderId="2" xfId="1" applyBorder="1" applyAlignment="1">
      <alignment horizontal="justify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44" fontId="2" fillId="0" borderId="2" xfId="0" applyNumberFormat="1" applyFont="1" applyBorder="1" applyAlignment="1">
      <alignment horizontal="right" vertical="center" wrapText="1"/>
    </xf>
    <xf numFmtId="44" fontId="12" fillId="0" borderId="2" xfId="1" applyNumberForma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44" fontId="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4" fontId="3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12" fillId="0" borderId="0" xfId="1" applyNumberFormat="1" applyAlignment="1">
      <alignment vertical="center" wrapText="1"/>
    </xf>
    <xf numFmtId="44" fontId="1" fillId="0" borderId="2" xfId="0" applyNumberFormat="1" applyFont="1" applyBorder="1" applyAlignment="1">
      <alignment horizontal="right" vertical="center" wrapText="1"/>
    </xf>
    <xf numFmtId="44" fontId="8" fillId="0" borderId="2" xfId="0" applyNumberFormat="1" applyFont="1" applyBorder="1" applyAlignment="1">
      <alignment vertical="center"/>
    </xf>
    <xf numFmtId="44" fontId="4" fillId="0" borderId="2" xfId="0" applyNumberFormat="1" applyFont="1" applyBorder="1" applyAlignment="1">
      <alignment horizontal="right" vertical="center" wrapText="1"/>
    </xf>
    <xf numFmtId="44" fontId="3" fillId="0" borderId="2" xfId="0" applyNumberFormat="1" applyFont="1" applyBorder="1" applyAlignment="1">
      <alignment vertical="center" wrapText="1"/>
    </xf>
    <xf numFmtId="0" fontId="8" fillId="0" borderId="11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10" fillId="0" borderId="7" xfId="0" applyFont="1" applyBorder="1" applyAlignment="1">
      <alignment horizontal="left" vertical="center" wrapText="1" indent="7"/>
    </xf>
    <xf numFmtId="0" fontId="10" fillId="0" borderId="0" xfId="0" applyFont="1" applyAlignment="1">
      <alignment horizontal="left" vertical="center" wrapText="1" indent="7"/>
    </xf>
    <xf numFmtId="0" fontId="10" fillId="0" borderId="8" xfId="0" applyFont="1" applyBorder="1" applyAlignment="1">
      <alignment horizontal="left" vertical="center" wrapText="1" indent="7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0" borderId="7" xfId="0" applyFont="1" applyBorder="1"/>
    <xf numFmtId="0" fontId="1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10" xfId="0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7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46382</xdr:colOff>
      <xdr:row>0</xdr:row>
      <xdr:rowOff>119270</xdr:rowOff>
    </xdr:from>
    <xdr:to>
      <xdr:col>5</xdr:col>
      <xdr:colOff>21701</xdr:colOff>
      <xdr:row>0</xdr:row>
      <xdr:rowOff>1217154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171075-F7FC-BF89-FF05-B52F28FF7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295" y="119270"/>
          <a:ext cx="4969566" cy="1097884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upholsterywarehouse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AFD5-1868-4D5C-9CA3-9E8C2D45006D}">
  <sheetPr>
    <pageSetUpPr fitToPage="1"/>
  </sheetPr>
  <dimension ref="A1:O51"/>
  <sheetViews>
    <sheetView tabSelected="1" topLeftCell="A10" zoomScale="141" zoomScaleNormal="141" workbookViewId="0">
      <selection activeCell="B22" sqref="B22:C22"/>
    </sheetView>
  </sheetViews>
  <sheetFormatPr defaultRowHeight="14.5" x14ac:dyDescent="0.35"/>
  <cols>
    <col min="1" max="1" width="3.36328125" customWidth="1"/>
    <col min="2" max="2" width="19.36328125" customWidth="1"/>
    <col min="3" max="3" width="28.6328125" customWidth="1"/>
    <col min="4" max="4" width="6.08984375" customWidth="1"/>
    <col min="5" max="5" width="18.54296875" style="4" customWidth="1"/>
    <col min="6" max="6" width="36.7265625" style="4" customWidth="1"/>
    <col min="7" max="10" width="8.90625" hidden="1" customWidth="1"/>
    <col min="11" max="11" width="0.7265625" customWidth="1"/>
    <col min="12" max="12" width="8.90625" customWidth="1"/>
    <col min="13" max="13" width="8.90625" style="4"/>
    <col min="14" max="14" width="8.90625" style="21"/>
    <col min="15" max="15" width="11.6328125" style="4" customWidth="1"/>
    <col min="16" max="16" width="12.6328125" customWidth="1"/>
  </cols>
  <sheetData>
    <row r="1" spans="1:12" ht="98.4" customHeight="1" x14ac:dyDescent="0.35">
      <c r="B1" s="65" t="s">
        <v>32</v>
      </c>
      <c r="C1" s="66"/>
      <c r="D1" s="66"/>
      <c r="E1" s="66"/>
      <c r="F1" s="66"/>
      <c r="G1" s="66"/>
      <c r="H1" s="66"/>
      <c r="I1" s="66"/>
      <c r="J1" s="66"/>
      <c r="K1" s="66"/>
      <c r="L1" s="8"/>
    </row>
    <row r="2" spans="1:12" ht="7.75" customHeight="1" x14ac:dyDescent="0.35">
      <c r="B2" s="72"/>
      <c r="C2" s="72"/>
      <c r="D2" s="72"/>
      <c r="E2" s="72"/>
      <c r="F2" s="72"/>
      <c r="G2" s="8"/>
      <c r="H2" s="8"/>
      <c r="I2" s="8"/>
      <c r="J2" s="8"/>
      <c r="K2" s="8"/>
      <c r="L2" s="8"/>
    </row>
    <row r="3" spans="1:12" ht="16.75" customHeight="1" x14ac:dyDescent="0.35">
      <c r="B3" s="67" t="s">
        <v>0</v>
      </c>
      <c r="C3" s="68"/>
      <c r="D3" s="68"/>
      <c r="E3" s="68"/>
      <c r="F3" s="68"/>
      <c r="G3" s="68"/>
      <c r="H3" s="68"/>
      <c r="I3" s="68"/>
      <c r="J3" s="68"/>
      <c r="K3" s="68"/>
      <c r="L3" s="20"/>
    </row>
    <row r="4" spans="1:12" x14ac:dyDescent="0.35">
      <c r="B4" s="9"/>
      <c r="C4" s="9"/>
      <c r="D4" s="9"/>
      <c r="E4" s="10"/>
      <c r="F4" s="10"/>
    </row>
    <row r="5" spans="1:12" x14ac:dyDescent="0.35">
      <c r="B5" s="2" t="s">
        <v>27</v>
      </c>
      <c r="C5" s="11"/>
      <c r="D5" s="63"/>
      <c r="E5" s="5" t="s">
        <v>1</v>
      </c>
      <c r="F5" s="13" t="s">
        <v>45</v>
      </c>
    </row>
    <row r="6" spans="1:12" x14ac:dyDescent="0.35">
      <c r="B6" s="2" t="s">
        <v>26</v>
      </c>
      <c r="C6" s="11" t="s">
        <v>46</v>
      </c>
      <c r="D6" s="63"/>
      <c r="E6" s="5" t="s">
        <v>2</v>
      </c>
      <c r="F6" s="13">
        <v>46274</v>
      </c>
    </row>
    <row r="7" spans="1:12" x14ac:dyDescent="0.35">
      <c r="B7" s="2" t="s">
        <v>25</v>
      </c>
      <c r="C7" s="12" t="s">
        <v>47</v>
      </c>
      <c r="D7" s="63"/>
      <c r="E7" s="5" t="s">
        <v>3</v>
      </c>
      <c r="F7" s="13">
        <v>46304</v>
      </c>
    </row>
    <row r="8" spans="1:12" x14ac:dyDescent="0.35">
      <c r="B8" s="2" t="s">
        <v>24</v>
      </c>
      <c r="C8" s="12"/>
      <c r="D8" s="63"/>
      <c r="E8" s="5" t="s">
        <v>4</v>
      </c>
      <c r="F8" s="23" t="s">
        <v>31</v>
      </c>
    </row>
    <row r="9" spans="1:12" x14ac:dyDescent="0.35">
      <c r="A9" t="s">
        <v>9</v>
      </c>
      <c r="B9" s="2" t="s">
        <v>23</v>
      </c>
      <c r="C9" s="69"/>
      <c r="D9" s="63"/>
      <c r="E9" s="5" t="s">
        <v>5</v>
      </c>
      <c r="F9" s="14" t="s">
        <v>30</v>
      </c>
    </row>
    <row r="10" spans="1:12" x14ac:dyDescent="0.35">
      <c r="B10" s="3"/>
      <c r="C10" s="69"/>
      <c r="D10" s="63"/>
      <c r="E10" s="5" t="s">
        <v>6</v>
      </c>
      <c r="F10" s="15" t="s">
        <v>29</v>
      </c>
    </row>
    <row r="11" spans="1:12" x14ac:dyDescent="0.35">
      <c r="B11" s="3"/>
      <c r="C11" s="70"/>
      <c r="D11" s="63"/>
      <c r="E11" s="6"/>
      <c r="F11" s="22"/>
    </row>
    <row r="12" spans="1:12" x14ac:dyDescent="0.35">
      <c r="B12" s="2" t="s">
        <v>22</v>
      </c>
      <c r="C12" s="71" t="s">
        <v>35</v>
      </c>
      <c r="D12" s="71"/>
      <c r="E12" s="71"/>
      <c r="F12" s="71"/>
    </row>
    <row r="13" spans="1:12" ht="7.25" customHeight="1" x14ac:dyDescent="0.35"/>
    <row r="14" spans="1:12" x14ac:dyDescent="0.35">
      <c r="B14" s="73" t="s">
        <v>21</v>
      </c>
      <c r="C14" s="74"/>
      <c r="D14" s="74"/>
      <c r="E14" s="74"/>
      <c r="F14" s="75"/>
    </row>
    <row r="15" spans="1:12" x14ac:dyDescent="0.35">
      <c r="B15" s="45" t="s">
        <v>53</v>
      </c>
      <c r="C15" s="46"/>
      <c r="D15" s="46"/>
      <c r="E15" s="46"/>
      <c r="F15" s="47"/>
      <c r="G15" s="45" t="s">
        <v>36</v>
      </c>
      <c r="H15" s="46"/>
      <c r="I15" s="46"/>
      <c r="J15" s="46"/>
      <c r="K15" s="46"/>
    </row>
    <row r="16" spans="1:12" x14ac:dyDescent="0.35">
      <c r="B16" s="45" t="s">
        <v>44</v>
      </c>
      <c r="C16" s="46"/>
      <c r="D16" s="46"/>
      <c r="E16" s="46"/>
      <c r="F16" s="47"/>
    </row>
    <row r="17" spans="2:15" x14ac:dyDescent="0.35">
      <c r="B17" s="45" t="s">
        <v>48</v>
      </c>
      <c r="C17" s="46"/>
      <c r="D17" s="46"/>
      <c r="E17" s="46"/>
      <c r="F17" s="47"/>
    </row>
    <row r="18" spans="2:15" ht="15" customHeight="1" x14ac:dyDescent="0.35">
      <c r="B18" s="48" t="s">
        <v>43</v>
      </c>
      <c r="C18" s="49"/>
      <c r="D18" s="49"/>
      <c r="E18" s="49"/>
      <c r="F18" s="50"/>
    </row>
    <row r="19" spans="2:15" ht="4.25" customHeight="1" x14ac:dyDescent="0.35"/>
    <row r="20" spans="2:15" x14ac:dyDescent="0.35">
      <c r="B20" s="43" t="s">
        <v>28</v>
      </c>
      <c r="C20" s="43"/>
      <c r="D20" s="43"/>
      <c r="E20" s="43"/>
      <c r="F20" s="43"/>
    </row>
    <row r="21" spans="2:15" x14ac:dyDescent="0.35">
      <c r="B21" s="44" t="s">
        <v>7</v>
      </c>
      <c r="C21" s="44"/>
      <c r="D21" s="16" t="s">
        <v>11</v>
      </c>
      <c r="E21" s="17" t="s">
        <v>19</v>
      </c>
      <c r="F21" s="25" t="s">
        <v>12</v>
      </c>
      <c r="M21"/>
      <c r="N21"/>
      <c r="O21"/>
    </row>
    <row r="22" spans="2:15" ht="14.4" customHeight="1" x14ac:dyDescent="0.35">
      <c r="B22" s="39" t="s">
        <v>42</v>
      </c>
      <c r="C22" s="40"/>
      <c r="D22" s="18">
        <v>12</v>
      </c>
      <c r="E22" s="19">
        <v>170</v>
      </c>
      <c r="F22" s="26">
        <f>E22*D22</f>
        <v>2040</v>
      </c>
      <c r="M22"/>
      <c r="N22"/>
      <c r="O22"/>
    </row>
    <row r="23" spans="2:15" ht="14.4" customHeight="1" x14ac:dyDescent="0.35">
      <c r="B23" s="39" t="s">
        <v>39</v>
      </c>
      <c r="C23" s="40"/>
      <c r="D23" s="18">
        <v>6</v>
      </c>
      <c r="E23" s="19">
        <v>110</v>
      </c>
      <c r="F23" s="26">
        <f t="shared" ref="F23" si="0">E23*D23</f>
        <v>660</v>
      </c>
      <c r="M23"/>
      <c r="N23"/>
      <c r="O23"/>
    </row>
    <row r="24" spans="2:15" ht="14.4" customHeight="1" x14ac:dyDescent="0.35">
      <c r="B24" s="39" t="s">
        <v>40</v>
      </c>
      <c r="C24" s="40"/>
      <c r="D24" s="18">
        <v>6</v>
      </c>
      <c r="E24" s="19">
        <v>410</v>
      </c>
      <c r="F24" s="26">
        <f>E24*D24</f>
        <v>2460</v>
      </c>
      <c r="M24"/>
      <c r="N24"/>
      <c r="O24"/>
    </row>
    <row r="25" spans="2:15" ht="14.4" customHeight="1" x14ac:dyDescent="0.35">
      <c r="B25" s="39" t="s">
        <v>41</v>
      </c>
      <c r="C25" s="40"/>
      <c r="D25" s="18">
        <v>6</v>
      </c>
      <c r="E25" s="19">
        <v>45</v>
      </c>
      <c r="F25" s="26">
        <f t="shared" ref="F25" si="1">E25*D25</f>
        <v>270</v>
      </c>
      <c r="M25"/>
      <c r="N25"/>
      <c r="O25"/>
    </row>
    <row r="26" spans="2:15" ht="14.4" customHeight="1" x14ac:dyDescent="0.35">
      <c r="B26" s="39" t="s">
        <v>54</v>
      </c>
      <c r="C26" s="40"/>
      <c r="D26" s="18">
        <v>1</v>
      </c>
      <c r="E26" s="19">
        <v>2980</v>
      </c>
      <c r="F26" s="26">
        <f t="shared" ref="F26" si="2">E26*D26</f>
        <v>2980</v>
      </c>
      <c r="M26"/>
      <c r="N26"/>
      <c r="O26"/>
    </row>
    <row r="27" spans="2:15" ht="14.4" customHeight="1" x14ac:dyDescent="0.35">
      <c r="B27" s="39" t="s">
        <v>49</v>
      </c>
      <c r="C27" s="40"/>
      <c r="D27" s="18">
        <v>24</v>
      </c>
      <c r="E27" s="19">
        <v>180</v>
      </c>
      <c r="F27" s="26">
        <f>E27*D27</f>
        <v>4320</v>
      </c>
      <c r="M27"/>
      <c r="N27"/>
      <c r="O27"/>
    </row>
    <row r="28" spans="2:15" ht="14.4" customHeight="1" x14ac:dyDescent="0.35">
      <c r="B28" s="39" t="s">
        <v>50</v>
      </c>
      <c r="C28" s="40"/>
      <c r="D28" s="18">
        <v>2</v>
      </c>
      <c r="E28" s="19">
        <v>420</v>
      </c>
      <c r="F28" s="26">
        <f t="shared" ref="F28" si="3">E28*D28</f>
        <v>840</v>
      </c>
      <c r="M28"/>
      <c r="N28"/>
      <c r="O28"/>
    </row>
    <row r="29" spans="2:15" ht="14.4" customHeight="1" x14ac:dyDescent="0.35">
      <c r="B29" s="39" t="s">
        <v>51</v>
      </c>
      <c r="C29" s="40"/>
      <c r="D29" s="18">
        <v>2</v>
      </c>
      <c r="E29" s="19">
        <v>3790</v>
      </c>
      <c r="F29" s="26">
        <f>E29*D29</f>
        <v>7580</v>
      </c>
      <c r="M29"/>
      <c r="N29"/>
      <c r="O29"/>
    </row>
    <row r="30" spans="2:15" ht="14.4" customHeight="1" x14ac:dyDescent="0.35">
      <c r="B30" s="39" t="s">
        <v>52</v>
      </c>
      <c r="C30" s="40"/>
      <c r="D30" s="18">
        <v>2</v>
      </c>
      <c r="E30" s="19">
        <v>210</v>
      </c>
      <c r="F30" s="26">
        <f t="shared" ref="F30" si="4">E30*D30</f>
        <v>420</v>
      </c>
      <c r="M30"/>
      <c r="N30"/>
      <c r="O30"/>
    </row>
    <row r="31" spans="2:15" ht="14.5" customHeight="1" x14ac:dyDescent="0.35">
      <c r="B31" s="51"/>
      <c r="C31" s="52"/>
      <c r="D31" s="18"/>
      <c r="E31" s="19"/>
      <c r="F31" s="26"/>
    </row>
    <row r="32" spans="2:15" ht="14.5" customHeight="1" x14ac:dyDescent="0.35">
      <c r="B32" s="27" t="s">
        <v>37</v>
      </c>
      <c r="C32" s="28"/>
      <c r="D32" s="28"/>
      <c r="E32" s="29"/>
      <c r="F32" s="24">
        <f>SUM(F22:F31)</f>
        <v>21570</v>
      </c>
    </row>
    <row r="33" spans="2:6" x14ac:dyDescent="0.35">
      <c r="B33" s="1"/>
      <c r="C33" s="42"/>
      <c r="D33" s="42"/>
      <c r="E33" s="7"/>
    </row>
    <row r="34" spans="2:6" ht="14.5" customHeight="1" x14ac:dyDescent="0.35">
      <c r="B34" s="41" t="s">
        <v>8</v>
      </c>
      <c r="C34" s="41"/>
      <c r="D34" s="41"/>
      <c r="E34" s="41"/>
      <c r="F34" s="41"/>
    </row>
    <row r="35" spans="2:6" ht="14.5" customHeight="1" x14ac:dyDescent="0.35">
      <c r="B35" s="36" t="s">
        <v>9</v>
      </c>
      <c r="C35" s="37"/>
      <c r="D35" s="37"/>
      <c r="E35" s="37"/>
      <c r="F35" s="38"/>
    </row>
    <row r="36" spans="2:6" ht="14.5" customHeight="1" x14ac:dyDescent="0.35">
      <c r="B36" s="33" t="s">
        <v>10</v>
      </c>
      <c r="C36" s="34"/>
      <c r="D36" s="34"/>
      <c r="E36" s="34"/>
      <c r="F36" s="35"/>
    </row>
    <row r="37" spans="2:6" ht="14.5" customHeight="1" x14ac:dyDescent="0.35">
      <c r="B37" s="30" t="s">
        <v>20</v>
      </c>
      <c r="C37" s="31"/>
      <c r="D37" s="31"/>
      <c r="E37" s="31"/>
      <c r="F37" s="32"/>
    </row>
    <row r="38" spans="2:6" x14ac:dyDescent="0.35">
      <c r="B38" s="30" t="s">
        <v>13</v>
      </c>
      <c r="C38" s="31"/>
      <c r="D38" s="31"/>
      <c r="E38" s="31"/>
      <c r="F38" s="32"/>
    </row>
    <row r="39" spans="2:6" ht="14.5" customHeight="1" x14ac:dyDescent="0.35">
      <c r="B39" s="30" t="s">
        <v>14</v>
      </c>
      <c r="C39" s="31"/>
      <c r="D39" s="31"/>
      <c r="E39" s="31"/>
      <c r="F39" s="32"/>
    </row>
    <row r="40" spans="2:6" x14ac:dyDescent="0.35">
      <c r="B40" s="30" t="s">
        <v>34</v>
      </c>
      <c r="C40" s="31"/>
      <c r="D40" s="31"/>
      <c r="E40" s="31"/>
      <c r="F40" s="32"/>
    </row>
    <row r="41" spans="2:6" x14ac:dyDescent="0.35">
      <c r="B41" s="33" t="s">
        <v>9</v>
      </c>
      <c r="C41" s="34"/>
      <c r="D41" s="34"/>
      <c r="E41" s="34"/>
      <c r="F41" s="35"/>
    </row>
    <row r="42" spans="2:6" ht="14.5" customHeight="1" x14ac:dyDescent="0.35">
      <c r="B42" s="33" t="s">
        <v>15</v>
      </c>
      <c r="C42" s="34"/>
      <c r="D42" s="34"/>
      <c r="E42" s="34"/>
      <c r="F42" s="35"/>
    </row>
    <row r="43" spans="2:6" x14ac:dyDescent="0.35">
      <c r="B43" s="30" t="s">
        <v>33</v>
      </c>
      <c r="C43" s="31"/>
      <c r="D43" s="31"/>
      <c r="E43" s="31"/>
      <c r="F43" s="32"/>
    </row>
    <row r="44" spans="2:6" x14ac:dyDescent="0.35">
      <c r="B44" s="59" t="s">
        <v>38</v>
      </c>
      <c r="C44" s="60"/>
      <c r="D44" s="60"/>
      <c r="E44" s="60"/>
      <c r="F44" s="61"/>
    </row>
    <row r="45" spans="2:6" x14ac:dyDescent="0.35">
      <c r="B45" s="56" t="s">
        <v>18</v>
      </c>
      <c r="C45" s="57"/>
      <c r="D45" s="57"/>
      <c r="E45" s="57"/>
      <c r="F45" s="58"/>
    </row>
    <row r="46" spans="2:6" x14ac:dyDescent="0.35">
      <c r="B46" s="59"/>
      <c r="C46" s="60"/>
      <c r="D46" s="60"/>
      <c r="E46" s="60"/>
      <c r="F46" s="61"/>
    </row>
    <row r="47" spans="2:6" x14ac:dyDescent="0.35">
      <c r="B47" s="62" t="s">
        <v>17</v>
      </c>
      <c r="C47" s="63"/>
      <c r="D47" s="63"/>
      <c r="E47" s="63"/>
      <c r="F47" s="64"/>
    </row>
    <row r="48" spans="2:6" x14ac:dyDescent="0.35">
      <c r="B48" s="62"/>
      <c r="C48" s="63"/>
      <c r="D48" s="63"/>
      <c r="E48" s="63"/>
      <c r="F48" s="64"/>
    </row>
    <row r="49" spans="2:6" x14ac:dyDescent="0.35">
      <c r="B49" s="62"/>
      <c r="C49" s="63"/>
      <c r="D49" s="63"/>
      <c r="E49" s="63"/>
      <c r="F49" s="64"/>
    </row>
    <row r="50" spans="2:6" x14ac:dyDescent="0.35">
      <c r="B50" s="62" t="s">
        <v>16</v>
      </c>
      <c r="C50" s="63"/>
      <c r="D50" s="63"/>
      <c r="E50" s="63"/>
      <c r="F50" s="64"/>
    </row>
    <row r="51" spans="2:6" x14ac:dyDescent="0.35">
      <c r="B51" s="53"/>
      <c r="C51" s="54"/>
      <c r="D51" s="54"/>
      <c r="E51" s="54"/>
      <c r="F51" s="55"/>
    </row>
  </sheetData>
  <mergeCells count="44">
    <mergeCell ref="G15:K15"/>
    <mergeCell ref="B17:F17"/>
    <mergeCell ref="B1:K1"/>
    <mergeCell ref="B3:K3"/>
    <mergeCell ref="D5:D11"/>
    <mergeCell ref="C9:C11"/>
    <mergeCell ref="C12:F12"/>
    <mergeCell ref="B2:F2"/>
    <mergeCell ref="B14:F14"/>
    <mergeCell ref="B16:F16"/>
    <mergeCell ref="B51:F51"/>
    <mergeCell ref="B41:F41"/>
    <mergeCell ref="B45:F45"/>
    <mergeCell ref="B46:F46"/>
    <mergeCell ref="B49:F49"/>
    <mergeCell ref="B48:F48"/>
    <mergeCell ref="B44:F44"/>
    <mergeCell ref="B47:F47"/>
    <mergeCell ref="B50:F50"/>
    <mergeCell ref="B42:F42"/>
    <mergeCell ref="B43:F43"/>
    <mergeCell ref="B20:F20"/>
    <mergeCell ref="B21:C21"/>
    <mergeCell ref="B15:F15"/>
    <mergeCell ref="B18:F18"/>
    <mergeCell ref="B31:C31"/>
    <mergeCell ref="B22:C22"/>
    <mergeCell ref="B23:C23"/>
    <mergeCell ref="B24:C24"/>
    <mergeCell ref="B28:C28"/>
    <mergeCell ref="B29:C29"/>
    <mergeCell ref="B30:C30"/>
    <mergeCell ref="B40:F40"/>
    <mergeCell ref="B34:F34"/>
    <mergeCell ref="B38:F38"/>
    <mergeCell ref="C33:D33"/>
    <mergeCell ref="B39:F39"/>
    <mergeCell ref="B32:E32"/>
    <mergeCell ref="B37:F37"/>
    <mergeCell ref="B36:F36"/>
    <mergeCell ref="B35:F35"/>
    <mergeCell ref="B25:C25"/>
    <mergeCell ref="B27:C27"/>
    <mergeCell ref="B26:C26"/>
  </mergeCells>
  <phoneticPr fontId="15" type="noConversion"/>
  <hyperlinks>
    <hyperlink ref="F10" r:id="rId1" xr:uid="{65258F70-04BF-4433-95E4-56A3EBE0D7FB}"/>
  </hyperlinks>
  <pageMargins left="0.39370078740157483" right="0.39370078740157483" top="0.39370078740157483" bottom="0.39370078740157483" header="0.31496062992125984" footer="0.31496062992125984"/>
  <pageSetup paperSize="9" scale="8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Singh</dc:creator>
  <cp:lastModifiedBy>Tania Moodley</cp:lastModifiedBy>
  <cp:lastPrinted>2026-09-09T15:19:38Z</cp:lastPrinted>
  <dcterms:created xsi:type="dcterms:W3CDTF">2024-01-15T14:40:31Z</dcterms:created>
  <dcterms:modified xsi:type="dcterms:W3CDTF">2026-09-11T09:26:17Z</dcterms:modified>
</cp:coreProperties>
</file>